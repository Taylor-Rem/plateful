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<sst xmlns="http://schemas.openxmlformats.org/spreadsheetml/2006/main" count="57" uniqueCount="55">
  <si>
    <t xml:space="preserve">Plateful — online ordering fee comparison</t>
  </si>
  <si>
    <t xml:space="preserve">Edit the blue cells. The yellow cell is your Plateful fee — change it and watch every number move.</t>
  </si>
  <si>
    <t xml:space="preserve">ASSUMPTIONS</t>
  </si>
  <si>
    <t xml:space="preserve">Average order ($)</t>
  </si>
  <si>
    <t xml:space="preserve">Online orders / month</t>
  </si>
  <si>
    <t xml:space="preserve">Your Plateful fee (%)  &lt;&lt;</t>
  </si>
  <si>
    <t xml:space="preserve">% of online orders shifted to Plateful</t>
  </si>
  <si>
    <t xml:space="preserve">Channel mix today</t>
  </si>
  <si>
    <t xml:space="preserve">  on DoorDash</t>
  </si>
  <si>
    <t xml:space="preserve">  on Uber Eats</t>
  </si>
  <si>
    <t xml:space="preserve">  on Toast online</t>
  </si>
  <si>
    <t xml:space="preserve">  total (should = 100%)</t>
  </si>
  <si>
    <t xml:space="preserve">Rate assumptions</t>
  </si>
  <si>
    <t xml:space="preserve">Stripe rate (%)</t>
  </si>
  <si>
    <t xml:space="preserve">Stripe fixed ($/order)</t>
  </si>
  <si>
    <t xml:space="preserve">Toast online rate (%)</t>
  </si>
  <si>
    <t xml:space="preserve">Toast online fixed ($/order)</t>
  </si>
  <si>
    <t xml:space="preserve">Toast online add-on ($/month)</t>
  </si>
  <si>
    <t xml:space="preserve">Toast in-store rate (%)</t>
  </si>
  <si>
    <t xml:space="preserve">Toast in-store fixed ($/order)</t>
  </si>
  <si>
    <t xml:space="preserve">DoorDash commission (%)</t>
  </si>
  <si>
    <t xml:space="preserve">Uber Eats commission (%)</t>
  </si>
  <si>
    <t xml:space="preserve">PER-ORDER  (on one average order)</t>
  </si>
  <si>
    <t xml:space="preserve">Channel</t>
  </si>
  <si>
    <t xml:space="preserve">Fee taken</t>
  </si>
  <si>
    <t xml:space="preserve">Restaurant keeps</t>
  </si>
  <si>
    <t xml:space="preserve">Keep %</t>
  </si>
  <si>
    <t xml:space="preserve">DoorDash</t>
  </si>
  <si>
    <t xml:space="preserve">Uber Eats</t>
  </si>
  <si>
    <t xml:space="preserve">Toast online</t>
  </si>
  <si>
    <t xml:space="preserve">In-store (Toast)</t>
  </si>
  <si>
    <t xml:space="preserve">Plateful (your channel)</t>
  </si>
  <si>
    <t xml:space="preserve">MONTHLY  (across all online orders)</t>
  </si>
  <si>
    <t xml:space="preserve">Today</t>
  </si>
  <si>
    <t xml:space="preserve">Orders</t>
  </si>
  <si>
    <t xml:space="preserve">Fees</t>
  </si>
  <si>
    <t xml:space="preserve">  DoorDash</t>
  </si>
  <si>
    <t xml:space="preserve">  Uber Eats</t>
  </si>
  <si>
    <t xml:space="preserve">  Toast online</t>
  </si>
  <si>
    <t xml:space="preserve">  Total fees today</t>
  </si>
  <si>
    <t xml:space="preserve">With Plateful</t>
  </si>
  <si>
    <t xml:space="preserve">  moved to Plateful</t>
  </si>
  <si>
    <t xml:space="preserve">  still on DoorDash</t>
  </si>
  <si>
    <t xml:space="preserve">  still on Uber Eats</t>
  </si>
  <si>
    <t xml:space="preserve">  still on Toast online</t>
  </si>
  <si>
    <t xml:space="preserve">  Total fees with Plateful</t>
  </si>
  <si>
    <t xml:space="preserve">RESULTS</t>
  </si>
  <si>
    <t xml:space="preserve">Restaurant saves / month</t>
  </si>
  <si>
    <t xml:space="preserve">Restaurant saves / year</t>
  </si>
  <si>
    <t xml:space="preserve">Your Plateful revenue / month</t>
  </si>
  <si>
    <t xml:space="preserve">Your Plateful revenue / year</t>
  </si>
  <si>
    <t xml:space="preserve">Restaurant take-home today (of online $)</t>
  </si>
  <si>
    <t xml:space="preserve">Restaurant take-home with Plateful</t>
  </si>
  <si>
    <t xml:space="preserve">Note: DoorDash/Uber bring NEW customers; realistically you shift your own repeat/direct orders (the shift %).</t>
  </si>
  <si>
    <t xml:space="preserve">Plateful cannot beat Toast online on per-order processing (Stripe base rate ≈ Toast rate); the win is marketplace savings + customer ownership.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</si>
</sst>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0.0%"/>
    <numFmt numFmtId="168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1F5EE"/>
        <bgColor rgb="FFEAF3DE"/>
      </patternFill>
    </fill>
    <fill>
      <patternFill patternType="solid">
        <fgColor rgb="FFEAF3DE"/>
        <bgColor rgb="FFE1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AF3DE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/>
    </row>
    <row r="4" customFormat="false" ht="15" hidden="false" customHeight="false" outlineLevel="0" collapsed="false">
      <c r="A4" s="4" t="s">
        <v>3</v>
      </c>
      <c r="B4" s="5" t="n">
        <v>35</v>
      </c>
    </row>
    <row r="5" customFormat="false" ht="15" hidden="false" customHeight="false" outlineLevel="0" collapsed="false">
      <c r="A5" s="4" t="s">
        <v>4</v>
      </c>
      <c r="B5" s="6" t="n">
        <v>1200</v>
      </c>
    </row>
    <row r="6" customFormat="false" ht="15" hidden="false" customHeight="false" outlineLevel="0" collapsed="false">
      <c r="A6" s="4" t="s">
        <v>5</v>
      </c>
      <c r="B6" s="7" t="n">
        <v>0.05</v>
      </c>
    </row>
    <row r="7" customFormat="false" ht="15" hidden="false" customHeight="false" outlineLevel="0" collapsed="false">
      <c r="A7" s="4" t="s">
        <v>6</v>
      </c>
      <c r="B7" s="8" t="n">
        <v>0.8</v>
      </c>
    </row>
    <row r="9" customFormat="false" ht="15" hidden="false" customHeight="false" outlineLevel="0" collapsed="false">
      <c r="A9" s="9" t="s">
        <v>7</v>
      </c>
      <c r="B9" s="9"/>
    </row>
    <row r="10" customFormat="false" ht="15" hidden="false" customHeight="false" outlineLevel="0" collapsed="false">
      <c r="A10" s="4" t="s">
        <v>8</v>
      </c>
      <c r="B10" s="8" t="n">
        <v>0.45</v>
      </c>
    </row>
    <row r="11" customFormat="false" ht="15" hidden="false" customHeight="false" outlineLevel="0" collapsed="false">
      <c r="A11" s="4" t="s">
        <v>9</v>
      </c>
      <c r="B11" s="8" t="n">
        <v>0.2</v>
      </c>
    </row>
    <row r="12" customFormat="false" ht="15" hidden="false" customHeight="false" outlineLevel="0" collapsed="false">
      <c r="A12" s="4" t="s">
        <v>10</v>
      </c>
      <c r="B12" s="8" t="n">
        <v>0.35</v>
      </c>
    </row>
    <row r="13" customFormat="false" ht="15" hidden="false" customHeight="false" outlineLevel="0" collapsed="false">
      <c r="A13" s="4" t="s">
        <v>11</v>
      </c>
      <c r="B13" s="10" t="n">
        <f aca="false">SUM(B10:B12)</f>
        <v>1</v>
      </c>
    </row>
    <row r="15" customFormat="false" ht="15" hidden="false" customHeight="false" outlineLevel="0" collapsed="false">
      <c r="A15" s="9" t="s">
        <v>12</v>
      </c>
      <c r="B15" s="9"/>
    </row>
    <row r="16" customFormat="false" ht="15" hidden="false" customHeight="false" outlineLevel="0" collapsed="false">
      <c r="A16" s="4" t="s">
        <v>13</v>
      </c>
      <c r="B16" s="8" t="n">
        <v>0.029</v>
      </c>
    </row>
    <row r="17" customFormat="false" ht="15" hidden="false" customHeight="false" outlineLevel="0" collapsed="false">
      <c r="A17" s="4" t="s">
        <v>14</v>
      </c>
      <c r="B17" s="11" t="n">
        <v>0.3</v>
      </c>
    </row>
    <row r="18" customFormat="false" ht="15" hidden="false" customHeight="false" outlineLevel="0" collapsed="false">
      <c r="A18" s="4" t="s">
        <v>15</v>
      </c>
      <c r="B18" s="8" t="n">
        <v>0.035</v>
      </c>
    </row>
    <row r="19" customFormat="false" ht="15" hidden="false" customHeight="false" outlineLevel="0" collapsed="false">
      <c r="A19" s="4" t="s">
        <v>16</v>
      </c>
      <c r="B19" s="11" t="n">
        <v>0.15</v>
      </c>
    </row>
    <row r="20" customFormat="false" ht="15" hidden="false" customHeight="false" outlineLevel="0" collapsed="false">
      <c r="A20" s="4" t="s">
        <v>17</v>
      </c>
      <c r="B20" s="5" t="n">
        <v>75</v>
      </c>
    </row>
    <row r="21" customFormat="false" ht="15" hidden="false" customHeight="false" outlineLevel="0" collapsed="false">
      <c r="A21" s="4" t="s">
        <v>18</v>
      </c>
      <c r="B21" s="8" t="n">
        <v>0.0249</v>
      </c>
    </row>
    <row r="22" customFormat="false" ht="15" hidden="false" customHeight="false" outlineLevel="0" collapsed="false">
      <c r="A22" s="4" t="s">
        <v>19</v>
      </c>
      <c r="B22" s="11" t="n">
        <v>0.15</v>
      </c>
    </row>
    <row r="23" customFormat="false" ht="15" hidden="false" customHeight="false" outlineLevel="0" collapsed="false">
      <c r="A23" s="4" t="s">
        <v>20</v>
      </c>
      <c r="B23" s="8" t="n">
        <v>0.25</v>
      </c>
    </row>
    <row r="24" customFormat="false" ht="15" hidden="false" customHeight="false" outlineLevel="0" collapsed="false">
      <c r="A24" s="4" t="s">
        <v>21</v>
      </c>
      <c r="B24" s="8" t="n">
        <v>0.28</v>
      </c>
    </row>
    <row r="26" customFormat="false" ht="15" hidden="false" customHeight="false" outlineLevel="0" collapsed="false">
      <c r="A26" s="3" t="s">
        <v>22</v>
      </c>
      <c r="B26" s="3"/>
      <c r="C26" s="3"/>
      <c r="D26" s="3"/>
    </row>
    <row r="27" customFormat="false" ht="15" hidden="false" customHeight="false" outlineLevel="0" collapsed="false">
      <c r="A27" s="12" t="s">
        <v>23</v>
      </c>
      <c r="B27" s="13" t="s">
        <v>24</v>
      </c>
      <c r="C27" s="13" t="s">
        <v>25</v>
      </c>
      <c r="D27" s="13" t="s">
        <v>26</v>
      </c>
    </row>
    <row r="28" customFormat="false" ht="15" hidden="false" customHeight="false" outlineLevel="0" collapsed="false">
      <c r="A28" s="14" t="s">
        <v>27</v>
      </c>
      <c r="B28" s="15" t="n">
        <f aca="false">$B$4*$B$23</f>
        <v>8.75</v>
      </c>
      <c r="C28" s="15" t="n">
        <f aca="false">$B$4-B28</f>
        <v>26.25</v>
      </c>
      <c r="D28" s="16" t="n">
        <f aca="false">C28/$B$4</f>
        <v>0.75</v>
      </c>
    </row>
    <row r="29" customFormat="false" ht="15" hidden="false" customHeight="false" outlineLevel="0" collapsed="false">
      <c r="A29" s="14" t="s">
        <v>28</v>
      </c>
      <c r="B29" s="15" t="n">
        <f aca="false">$B$4*$B$24</f>
        <v>9.8</v>
      </c>
      <c r="C29" s="15" t="n">
        <f aca="false">$B$4-B29</f>
        <v>25.2</v>
      </c>
      <c r="D29" s="16" t="n">
        <f aca="false">C29/$B$4</f>
        <v>0.72</v>
      </c>
    </row>
    <row r="30" customFormat="false" ht="15" hidden="false" customHeight="false" outlineLevel="0" collapsed="false">
      <c r="A30" s="14" t="s">
        <v>29</v>
      </c>
      <c r="B30" s="15" t="n">
        <f aca="false">$B$4*$B$18+$B$19</f>
        <v>1.375</v>
      </c>
      <c r="C30" s="15" t="n">
        <f aca="false">$B$4-B30</f>
        <v>33.625</v>
      </c>
      <c r="D30" s="16" t="n">
        <f aca="false">C30/$B$4</f>
        <v>0.960714285714286</v>
      </c>
    </row>
    <row r="31" customFormat="false" ht="15" hidden="false" customHeight="false" outlineLevel="0" collapsed="false">
      <c r="A31" s="14" t="s">
        <v>30</v>
      </c>
      <c r="B31" s="15" t="n">
        <f aca="false">$B$4*$B$21+$B$22</f>
        <v>1.0215</v>
      </c>
      <c r="C31" s="15" t="n">
        <f aca="false">$B$4-B31</f>
        <v>33.9785</v>
      </c>
      <c r="D31" s="16" t="n">
        <f aca="false">C31/$B$4</f>
        <v>0.970814285714286</v>
      </c>
    </row>
    <row r="32" customFormat="false" ht="15" hidden="false" customHeight="false" outlineLevel="0" collapsed="false">
      <c r="A32" s="14" t="s">
        <v>31</v>
      </c>
      <c r="B32" s="15" t="n">
        <f aca="false">$B$4*($B$16+$B$6)+$B$17</f>
        <v>3.065</v>
      </c>
      <c r="C32" s="15" t="n">
        <f aca="false">$B$4-B32</f>
        <v>31.935</v>
      </c>
      <c r="D32" s="16" t="n">
        <f aca="false">C32/$B$4</f>
        <v>0.912428571428571</v>
      </c>
    </row>
    <row r="35" customFormat="false" ht="15" hidden="false" customHeight="false" outlineLevel="0" collapsed="false">
      <c r="A35" s="3" t="s">
        <v>32</v>
      </c>
      <c r="B35" s="3"/>
      <c r="C35" s="3"/>
      <c r="D35" s="3"/>
    </row>
    <row r="36" customFormat="false" ht="15" hidden="false" customHeight="false" outlineLevel="0" collapsed="false">
      <c r="A36" s="9" t="s">
        <v>33</v>
      </c>
      <c r="B36" s="17" t="s">
        <v>34</v>
      </c>
      <c r="C36" s="17" t="s">
        <v>35</v>
      </c>
    </row>
    <row r="37" customFormat="false" ht="15" hidden="false" customHeight="false" outlineLevel="0" collapsed="false">
      <c r="A37" s="4" t="s">
        <v>36</v>
      </c>
      <c r="B37" s="18" t="n">
        <f aca="false">$B$5*$B$10</f>
        <v>540</v>
      </c>
      <c r="C37" s="19" t="n">
        <f aca="false">B37*$B$4*$B$23</f>
        <v>4725</v>
      </c>
    </row>
    <row r="38" customFormat="false" ht="15" hidden="false" customHeight="false" outlineLevel="0" collapsed="false">
      <c r="A38" s="4" t="s">
        <v>37</v>
      </c>
      <c r="B38" s="18" t="n">
        <f aca="false">$B$5*$B$11</f>
        <v>240</v>
      </c>
      <c r="C38" s="19" t="n">
        <f aca="false">B38*$B$4*$B$24</f>
        <v>2352</v>
      </c>
    </row>
    <row r="39" customFormat="false" ht="15" hidden="false" customHeight="false" outlineLevel="0" collapsed="false">
      <c r="A39" s="4" t="s">
        <v>38</v>
      </c>
      <c r="B39" s="18" t="n">
        <f aca="false">$B$5*$B$12</f>
        <v>420</v>
      </c>
      <c r="C39" s="19" t="n">
        <f aca="false">B39*($B$4*$B$18+$B$19)+IF(B39&gt;0,$B$20,0)</f>
        <v>652.5</v>
      </c>
    </row>
    <row r="40" customFormat="false" ht="15" hidden="false" customHeight="false" outlineLevel="0" collapsed="false">
      <c r="A40" s="20" t="s">
        <v>39</v>
      </c>
      <c r="B40" s="21" t="n">
        <f aca="false">SUM(B37:B39)</f>
        <v>1200</v>
      </c>
      <c r="C40" s="22" t="n">
        <f aca="false">SUM(C37:C39)</f>
        <v>7729.5</v>
      </c>
    </row>
    <row r="42" customFormat="false" ht="15" hidden="false" customHeight="false" outlineLevel="0" collapsed="false">
      <c r="A42" s="9" t="s">
        <v>40</v>
      </c>
      <c r="B42" s="17" t="s">
        <v>34</v>
      </c>
      <c r="C42" s="17" t="s">
        <v>35</v>
      </c>
    </row>
    <row r="43" customFormat="false" ht="15" hidden="false" customHeight="false" outlineLevel="0" collapsed="false">
      <c r="A43" s="4" t="s">
        <v>41</v>
      </c>
      <c r="B43" s="18" t="n">
        <f aca="false">$B$5*$B$7</f>
        <v>960</v>
      </c>
      <c r="C43" s="19" t="n">
        <f aca="false">B43*($B$4*($B$16+$B$6)+$B$17)</f>
        <v>2942.4</v>
      </c>
    </row>
    <row r="44" customFormat="false" ht="15" hidden="false" customHeight="false" outlineLevel="0" collapsed="false">
      <c r="A44" s="4" t="s">
        <v>42</v>
      </c>
      <c r="B44" s="18" t="n">
        <f aca="false">$B$5*(1-$B$7)*$B$10</f>
        <v>108</v>
      </c>
      <c r="C44" s="19" t="n">
        <f aca="false">B44*$B$4*$B$23</f>
        <v>945</v>
      </c>
    </row>
    <row r="45" customFormat="false" ht="15" hidden="false" customHeight="false" outlineLevel="0" collapsed="false">
      <c r="A45" s="4" t="s">
        <v>43</v>
      </c>
      <c r="B45" s="18" t="n">
        <f aca="false">$B$5*(1-$B$7)*$B$11</f>
        <v>48</v>
      </c>
      <c r="C45" s="19" t="n">
        <f aca="false">B45*$B$4*$B$24</f>
        <v>470.4</v>
      </c>
    </row>
    <row r="46" customFormat="false" ht="15" hidden="false" customHeight="false" outlineLevel="0" collapsed="false">
      <c r="A46" s="4" t="s">
        <v>44</v>
      </c>
      <c r="B46" s="18" t="n">
        <f aca="false">$B$5*(1-$B$7)*$B$12</f>
        <v>84</v>
      </c>
      <c r="C46" s="19" t="n">
        <f aca="false">B46*($B$4*$B$18+$B$19)+IF(B46&gt;0,$B$20,0)</f>
        <v>190.5</v>
      </c>
    </row>
    <row r="47" customFormat="false" ht="15" hidden="false" customHeight="false" outlineLevel="0" collapsed="false">
      <c r="A47" s="20" t="s">
        <v>45</v>
      </c>
      <c r="B47" s="21" t="n">
        <f aca="false">SUM(B43:B46)</f>
        <v>1200</v>
      </c>
      <c r="C47" s="22" t="n">
        <f aca="false">SUM(C43:C46)</f>
        <v>4548.3</v>
      </c>
    </row>
    <row r="49" customFormat="false" ht="15" hidden="false" customHeight="false" outlineLevel="0" collapsed="false">
      <c r="A49" s="3" t="s">
        <v>46</v>
      </c>
      <c r="B49" s="3"/>
      <c r="C49" s="3"/>
      <c r="D49" s="3"/>
    </row>
    <row r="50" customFormat="false" ht="15" hidden="false" customHeight="false" outlineLevel="0" collapsed="false">
      <c r="A50" s="23" t="s">
        <v>47</v>
      </c>
      <c r="C50" s="24" t="n">
        <f aca="false">C40-C47</f>
        <v>3181.2</v>
      </c>
    </row>
    <row r="51" customFormat="false" ht="15" hidden="false" customHeight="false" outlineLevel="0" collapsed="false">
      <c r="A51" s="25" t="s">
        <v>48</v>
      </c>
      <c r="C51" s="26" t="n">
        <f aca="false">C50*12</f>
        <v>38174.4</v>
      </c>
    </row>
    <row r="52" customFormat="false" ht="15" hidden="false" customHeight="false" outlineLevel="0" collapsed="false">
      <c r="A52" s="23" t="s">
        <v>49</v>
      </c>
      <c r="C52" s="24" t="n">
        <f aca="false">B43*$B$4*$B$6</f>
        <v>1680</v>
      </c>
    </row>
    <row r="53" customFormat="false" ht="15" hidden="false" customHeight="false" outlineLevel="0" collapsed="false">
      <c r="A53" s="25" t="s">
        <v>50</v>
      </c>
      <c r="C53" s="26" t="n">
        <f aca="false">C52*12</f>
        <v>20160</v>
      </c>
    </row>
    <row r="54" customFormat="false" ht="15" hidden="false" customHeight="false" outlineLevel="0" collapsed="false">
      <c r="A54" s="4" t="s">
        <v>51</v>
      </c>
      <c r="C54" s="10" t="n">
        <f aca="false">1-C40/($B$5*$B$4)</f>
        <v>0.815964285714286</v>
      </c>
    </row>
    <row r="55" customFormat="false" ht="15" hidden="false" customHeight="false" outlineLevel="0" collapsed="false">
      <c r="A55" s="4" t="s">
        <v>52</v>
      </c>
      <c r="C55" s="10" t="n">
        <f aca="false">1-C47/($B$5*$B$4)</f>
        <v>0.891707142857143</v>
      </c>
    </row>
    <row r="57" customFormat="false" ht="15" hidden="false" customHeight="false" outlineLevel="0" collapsed="false">
      <c r="A57" s="2" t="s">
        <v>53</v>
      </c>
    </row>
    <row r="58" customFormat="false" ht="15" hidden="false" customHeight="false" outlineLevel="0" collapsed="false">
      <c r="A58" s="2" t="s">
        <v>54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2026-07-09T21:28:34Z</dcterms:created>
  <dc:creator>openpyxl</dc:creator>
  <dc:description/>
  <dc:language>en-US</dc:language>
  <cp:lastModifiedBy/>
  <dcterms:modified xsi:type="dcterms:W3CDTF">2026-07-09T21:28:34Z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